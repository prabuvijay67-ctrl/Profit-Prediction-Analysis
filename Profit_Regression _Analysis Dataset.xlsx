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AC9F70D-79A7-4402-BFC9-0FD310743537}" xr6:coauthVersionLast="47" xr6:coauthVersionMax="47" xr10:uidLastSave="{00000000-0000-0000-0000-000000000000}"/>
  <bookViews>
    <workbookView xWindow="-110" yWindow="-110" windowWidth="19420" windowHeight="10300" activeTab="1" xr2:uid="{5DE297B6-5E4C-4C66-9020-568389CBB8F2}"/>
  </bookViews>
  <sheets>
    <sheet name="Output" sheetId="2" r:id="rId1"/>
    <sheet name="Profit_Regres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H2" i="1" s="1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F48" i="1"/>
  <c r="G48" i="1" s="1"/>
  <c r="H48" i="1" s="1"/>
  <c r="F49" i="1"/>
  <c r="G49" i="1" s="1"/>
  <c r="H49" i="1" s="1"/>
  <c r="F50" i="1"/>
  <c r="G50" i="1" s="1"/>
  <c r="H50" i="1" s="1"/>
  <c r="F51" i="1"/>
  <c r="G51" i="1" s="1"/>
  <c r="H51" i="1" s="1"/>
  <c r="I50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1" i="1"/>
  <c r="I2" i="1"/>
</calcChain>
</file>

<file path=xl/sharedStrings.xml><?xml version="1.0" encoding="utf-8"?>
<sst xmlns="http://schemas.openxmlformats.org/spreadsheetml/2006/main" count="84" uniqueCount="35">
  <si>
    <t>RD_Spend</t>
  </si>
  <si>
    <t>Administration</t>
  </si>
  <si>
    <t>Marketing_Spend</t>
  </si>
  <si>
    <t>State</t>
  </si>
  <si>
    <t>Profit</t>
  </si>
  <si>
    <t>Predicted_Profit</t>
  </si>
  <si>
    <t>Residual</t>
  </si>
  <si>
    <t>Error%</t>
  </si>
  <si>
    <t>Profit_category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</si>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</sst>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3" fillId="33" borderId="15" xfId="0" applyFont="1" applyFill="1" applyBorder="1"/>
    <xf numFmtId="0" fontId="13" fillId="33" borderId="16" xfId="0" applyFont="1" applyFill="1" applyBorder="1"/>
    <xf numFmtId="0" fontId="13" fillId="33" borderId="17" xfId="0" applyFont="1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8471-886C-4EC1-8ECA-FFE4FC7DDB11}">
  <dimension ref="A1:I20"/>
  <sheetViews>
    <sheetView topLeftCell="A4" workbookViewId="0">
      <selection activeCell="A16" sqref="A16:B20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12</v>
      </c>
    </row>
    <row r="2" spans="1:9" ht="15" thickBot="1" x14ac:dyDescent="0.4"/>
    <row r="3" spans="1:9" x14ac:dyDescent="0.35">
      <c r="A3" s="4" t="s">
        <v>13</v>
      </c>
      <c r="B3" s="4"/>
    </row>
    <row r="4" spans="1:9" x14ac:dyDescent="0.35">
      <c r="A4" t="s">
        <v>14</v>
      </c>
      <c r="B4">
        <v>0.97278738703994139</v>
      </c>
    </row>
    <row r="5" spans="1:9" x14ac:dyDescent="0.35">
      <c r="A5" t="s">
        <v>15</v>
      </c>
      <c r="B5">
        <v>0.94631530038399669</v>
      </c>
    </row>
    <row r="6" spans="1:9" x14ac:dyDescent="0.35">
      <c r="A6" t="s">
        <v>16</v>
      </c>
      <c r="B6">
        <v>0.94273632040959654</v>
      </c>
    </row>
    <row r="7" spans="1:9" x14ac:dyDescent="0.35">
      <c r="A7" t="s">
        <v>17</v>
      </c>
      <c r="B7">
        <v>9334.2611423901071</v>
      </c>
    </row>
    <row r="8" spans="1:9" ht="15" thickBot="1" x14ac:dyDescent="0.4">
      <c r="A8" s="2" t="s">
        <v>18</v>
      </c>
      <c r="B8" s="2">
        <v>49</v>
      </c>
    </row>
    <row r="10" spans="1:9" ht="15" thickBot="1" x14ac:dyDescent="0.4">
      <c r="A10" t="s">
        <v>19</v>
      </c>
    </row>
    <row r="11" spans="1:9" x14ac:dyDescent="0.35">
      <c r="A11" s="3"/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</row>
    <row r="12" spans="1:9" x14ac:dyDescent="0.35">
      <c r="A12" t="s">
        <v>20</v>
      </c>
      <c r="B12">
        <v>3</v>
      </c>
      <c r="C12">
        <v>69112681278.340042</v>
      </c>
      <c r="D12">
        <v>23037560426.113346</v>
      </c>
      <c r="E12">
        <v>264.40921914981783</v>
      </c>
      <c r="F12">
        <v>1.3991271058485768E-28</v>
      </c>
    </row>
    <row r="13" spans="1:9" x14ac:dyDescent="0.35">
      <c r="A13" t="s">
        <v>6</v>
      </c>
      <c r="B13">
        <v>45</v>
      </c>
      <c r="C13">
        <v>3920779398.3450246</v>
      </c>
      <c r="D13">
        <v>87128431.074333876</v>
      </c>
    </row>
    <row r="14" spans="1:9" ht="15" thickBot="1" x14ac:dyDescent="0.4">
      <c r="A14" s="2" t="s">
        <v>21</v>
      </c>
      <c r="B14" s="2">
        <v>48</v>
      </c>
      <c r="C14" s="2">
        <v>73033460676.685074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28</v>
      </c>
      <c r="C16" s="3" t="s">
        <v>17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3" t="s">
        <v>34</v>
      </c>
    </row>
    <row r="17" spans="1:9" x14ac:dyDescent="0.35">
      <c r="A17" t="s">
        <v>22</v>
      </c>
      <c r="B17">
        <v>50092.750140461998</v>
      </c>
      <c r="C17">
        <v>6718.4084055649746</v>
      </c>
      <c r="D17">
        <v>7.4560442171049433</v>
      </c>
      <c r="E17">
        <v>2.1579787420330956E-9</v>
      </c>
      <c r="F17">
        <v>36561.181002927995</v>
      </c>
      <c r="G17">
        <v>63624.319277995943</v>
      </c>
      <c r="H17">
        <v>36561.181002927995</v>
      </c>
      <c r="I17">
        <v>63624.319277995943</v>
      </c>
    </row>
    <row r="18" spans="1:9" x14ac:dyDescent="0.35">
      <c r="A18">
        <v>165349.20000000001</v>
      </c>
      <c r="B18">
        <v>0.80580818930770703</v>
      </c>
      <c r="C18">
        <v>4.5753235750704759E-2</v>
      </c>
      <c r="D18">
        <v>17.61204811170748</v>
      </c>
      <c r="E18">
        <v>8.1861751511587991E-22</v>
      </c>
      <c r="F18">
        <v>0.71365644212994817</v>
      </c>
      <c r="G18">
        <v>0.89795993648546568</v>
      </c>
      <c r="H18">
        <v>0.71365644212994817</v>
      </c>
      <c r="I18">
        <v>0.89795993648546568</v>
      </c>
    </row>
    <row r="19" spans="1:9" x14ac:dyDescent="0.35">
      <c r="A19">
        <v>136897.79999999999</v>
      </c>
      <c r="B19">
        <v>-2.6721677247500058E-2</v>
      </c>
      <c r="C19">
        <v>5.1689674685860484E-2</v>
      </c>
      <c r="D19">
        <v>-0.51696354078253992</v>
      </c>
      <c r="E19">
        <v>0.60771330644675325</v>
      </c>
      <c r="F19">
        <v>-0.13083002620244011</v>
      </c>
      <c r="G19">
        <v>7.738667170744E-2</v>
      </c>
      <c r="H19">
        <v>-0.13083002620244011</v>
      </c>
      <c r="I19">
        <v>7.738667170744E-2</v>
      </c>
    </row>
    <row r="20" spans="1:9" ht="15" thickBot="1" x14ac:dyDescent="0.4">
      <c r="A20" s="2">
        <v>471784.1</v>
      </c>
      <c r="B20" s="2">
        <v>2.7308924770134742E-2</v>
      </c>
      <c r="C20" s="2">
        <v>1.6854071499558948E-2</v>
      </c>
      <c r="D20" s="2">
        <v>1.6203161812176592</v>
      </c>
      <c r="E20" s="2">
        <v>0.11215196043661056</v>
      </c>
      <c r="F20" s="2">
        <v>-6.63691775356701E-3</v>
      </c>
      <c r="G20" s="2">
        <v>6.1254767293836498E-2</v>
      </c>
      <c r="H20" s="2">
        <v>-6.63691775356701E-3</v>
      </c>
      <c r="I20" s="2">
        <v>6.1254767293836498E-2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FB6-4614-42D5-AB79-18F6A8FB5555}">
  <dimension ref="A1:N51"/>
  <sheetViews>
    <sheetView tabSelected="1" workbookViewId="0">
      <selection activeCell="H4" sqref="H4"/>
    </sheetView>
  </sheetViews>
  <sheetFormatPr defaultRowHeight="14.5" x14ac:dyDescent="0.35"/>
  <cols>
    <col min="1" max="1" width="11.36328125" customWidth="1"/>
    <col min="2" max="2" width="15.36328125" customWidth="1"/>
    <col min="3" max="3" width="17.6328125" customWidth="1"/>
    <col min="5" max="5" width="10" bestFit="1" customWidth="1"/>
    <col min="6" max="6" width="16.54296875" customWidth="1"/>
    <col min="7" max="7" width="12.6328125" bestFit="1" customWidth="1"/>
    <col min="8" max="8" width="12" bestFit="1" customWidth="1"/>
    <col min="9" max="9" width="15.7265625" customWidth="1"/>
  </cols>
  <sheetData>
    <row r="1" spans="1:11" s="1" customForma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11" x14ac:dyDescent="0.35">
      <c r="A2" s="11">
        <v>165349.20000000001</v>
      </c>
      <c r="B2" s="12">
        <v>136897.79999999999</v>
      </c>
      <c r="C2" s="12">
        <v>471784.1</v>
      </c>
      <c r="D2" s="12" t="s">
        <v>9</v>
      </c>
      <c r="E2" s="12">
        <v>192261.83</v>
      </c>
      <c r="F2" s="12">
        <f>50092.75+(0.805*A2)-(0.026*B2)+(0.027*C2)</f>
        <v>192377.6839</v>
      </c>
      <c r="G2" s="12">
        <f>F2-E2</f>
        <v>115.85390000001644</v>
      </c>
      <c r="H2" s="12">
        <f>ABS(G2)/E2</f>
        <v>6.0258398663955528E-4</v>
      </c>
      <c r="I2" s="13" t="str">
        <f>IF(E2&gt;100000,"High",IF(E2&gt;50000,"Medium","Low"))</f>
        <v>High</v>
      </c>
    </row>
    <row r="3" spans="1:11" x14ac:dyDescent="0.35">
      <c r="A3" s="14">
        <v>162597.70000000001</v>
      </c>
      <c r="B3" s="15">
        <v>151377.59</v>
      </c>
      <c r="C3" s="15">
        <v>443898.53</v>
      </c>
      <c r="D3" s="15" t="s">
        <v>10</v>
      </c>
      <c r="E3" s="15">
        <v>191792.06</v>
      </c>
      <c r="F3" s="15">
        <f>50092.7501+(0.805*A3)+(-0.026*B3)+(0.027*C3)</f>
        <v>189033.34157000002</v>
      </c>
      <c r="G3" s="15">
        <f t="shared" ref="G3:G51" si="0">F3-E3</f>
        <v>-2758.718429999979</v>
      </c>
      <c r="H3" s="15">
        <f t="shared" ref="H3:H51" si="1">ABS(G3)/E3</f>
        <v>1.4383903223105165E-2</v>
      </c>
      <c r="I3" s="16" t="str">
        <f t="shared" ref="I3:I51" si="2">IF(E3&gt;100000,"High",IF(E3&gt;50000,"Medium","Low"))</f>
        <v>High</v>
      </c>
    </row>
    <row r="4" spans="1:11" x14ac:dyDescent="0.35">
      <c r="A4" s="11">
        <v>153441.51</v>
      </c>
      <c r="B4" s="12">
        <v>101145.55</v>
      </c>
      <c r="C4" s="12">
        <v>407934.54</v>
      </c>
      <c r="D4" s="12" t="s">
        <v>11</v>
      </c>
      <c r="E4" s="12">
        <v>191050.39</v>
      </c>
      <c r="F4" s="12">
        <f t="shared" ref="F4:F51" si="3">50092.7501+(0.805*A4)+(-0.026*B4)+(0.027*C4)</f>
        <v>181997.61393000002</v>
      </c>
      <c r="G4" s="12">
        <f t="shared" si="0"/>
        <v>-9052.7760699999926</v>
      </c>
      <c r="H4" s="12">
        <f t="shared" si="1"/>
        <v>4.7384232348334866E-2</v>
      </c>
      <c r="I4" s="13" t="str">
        <f t="shared" si="2"/>
        <v>High</v>
      </c>
    </row>
    <row r="5" spans="1:11" x14ac:dyDescent="0.35">
      <c r="A5" s="14">
        <v>144372.41</v>
      </c>
      <c r="B5" s="15">
        <v>118671.85</v>
      </c>
      <c r="C5" s="15">
        <v>383199.62</v>
      </c>
      <c r="D5" s="15" t="s">
        <v>9</v>
      </c>
      <c r="E5" s="15">
        <v>182901.99</v>
      </c>
      <c r="F5" s="15">
        <f t="shared" si="3"/>
        <v>173573.46179000003</v>
      </c>
      <c r="G5" s="15">
        <f t="shared" si="0"/>
        <v>-9328.5282099999604</v>
      </c>
      <c r="H5" s="15">
        <f t="shared" si="1"/>
        <v>5.1002879793707878E-2</v>
      </c>
      <c r="I5" s="16" t="str">
        <f t="shared" si="2"/>
        <v>High</v>
      </c>
    </row>
    <row r="6" spans="1:11" x14ac:dyDescent="0.35">
      <c r="A6" s="11">
        <v>142107.34</v>
      </c>
      <c r="B6" s="12">
        <v>91391.77</v>
      </c>
      <c r="C6" s="12">
        <v>366168.42</v>
      </c>
      <c r="D6" s="12" t="s">
        <v>11</v>
      </c>
      <c r="E6" s="12">
        <v>166187.94</v>
      </c>
      <c r="F6" s="12">
        <f t="shared" si="3"/>
        <v>171999.52012</v>
      </c>
      <c r="G6" s="12">
        <f t="shared" si="0"/>
        <v>5811.5801199999987</v>
      </c>
      <c r="H6" s="12">
        <f t="shared" si="1"/>
        <v>3.4969926939343483E-2</v>
      </c>
      <c r="I6" s="13" t="str">
        <f t="shared" si="2"/>
        <v>High</v>
      </c>
    </row>
    <row r="7" spans="1:11" x14ac:dyDescent="0.35">
      <c r="A7" s="14">
        <v>131876.9</v>
      </c>
      <c r="B7" s="15">
        <v>99814.71</v>
      </c>
      <c r="C7" s="15">
        <v>362861.36</v>
      </c>
      <c r="D7" s="15" t="s">
        <v>9</v>
      </c>
      <c r="E7" s="15">
        <v>156991.12</v>
      </c>
      <c r="F7" s="15">
        <f t="shared" si="3"/>
        <v>163455.72886</v>
      </c>
      <c r="G7" s="15">
        <f t="shared" si="0"/>
        <v>6464.6088600000076</v>
      </c>
      <c r="H7" s="15">
        <f t="shared" si="1"/>
        <v>4.1178181670402811E-2</v>
      </c>
      <c r="I7" s="16" t="str">
        <f t="shared" si="2"/>
        <v>High</v>
      </c>
    </row>
    <row r="8" spans="1:11" x14ac:dyDescent="0.35">
      <c r="A8" s="11">
        <v>134615.46</v>
      </c>
      <c r="B8" s="12">
        <v>147198.87</v>
      </c>
      <c r="C8" s="12">
        <v>127716.82</v>
      </c>
      <c r="D8" s="12" t="s">
        <v>10</v>
      </c>
      <c r="E8" s="12">
        <v>156122.51</v>
      </c>
      <c r="F8" s="12">
        <f t="shared" si="3"/>
        <v>158079.37892000002</v>
      </c>
      <c r="G8" s="12">
        <f t="shared" si="0"/>
        <v>1956.8689200000081</v>
      </c>
      <c r="H8" s="12">
        <f t="shared" si="1"/>
        <v>1.2534188183369637E-2</v>
      </c>
      <c r="I8" s="13" t="str">
        <f t="shared" si="2"/>
        <v>High</v>
      </c>
    </row>
    <row r="9" spans="1:11" x14ac:dyDescent="0.35">
      <c r="A9" s="14">
        <v>130298.13</v>
      </c>
      <c r="B9" s="15">
        <v>145530.06</v>
      </c>
      <c r="C9" s="15">
        <v>323876.68</v>
      </c>
      <c r="D9" s="15" t="s">
        <v>11</v>
      </c>
      <c r="E9" s="15">
        <v>155752.6</v>
      </c>
      <c r="F9" s="15">
        <f t="shared" si="3"/>
        <v>159943.63355</v>
      </c>
      <c r="G9" s="15">
        <f t="shared" si="0"/>
        <v>4191.0335499999928</v>
      </c>
      <c r="H9" s="15">
        <f t="shared" si="1"/>
        <v>2.6908273441342185E-2</v>
      </c>
      <c r="I9" s="16" t="str">
        <f t="shared" si="2"/>
        <v>High</v>
      </c>
    </row>
    <row r="10" spans="1:11" ht="15" thickBot="1" x14ac:dyDescent="0.4">
      <c r="A10" s="11">
        <v>120542.52</v>
      </c>
      <c r="B10" s="12">
        <v>148718.95000000001</v>
      </c>
      <c r="C10" s="12">
        <v>311613.28999999998</v>
      </c>
      <c r="D10" s="12" t="s">
        <v>9</v>
      </c>
      <c r="E10" s="12">
        <v>152211.76999999999</v>
      </c>
      <c r="F10" s="12">
        <f t="shared" si="3"/>
        <v>151676.34482999999</v>
      </c>
      <c r="G10" s="12">
        <f t="shared" si="0"/>
        <v>-535.42517000000225</v>
      </c>
      <c r="H10" s="12">
        <f t="shared" si="1"/>
        <v>3.5176331633224047E-3</v>
      </c>
      <c r="I10" s="13" t="str">
        <f t="shared" si="2"/>
        <v>High</v>
      </c>
      <c r="K10" s="2"/>
    </row>
    <row r="11" spans="1:11" x14ac:dyDescent="0.35">
      <c r="A11" s="14">
        <v>123334.88</v>
      </c>
      <c r="B11" s="15">
        <v>108679.17</v>
      </c>
      <c r="C11" s="15">
        <v>304981.62</v>
      </c>
      <c r="D11" s="15" t="s">
        <v>10</v>
      </c>
      <c r="E11" s="15">
        <v>149759.96</v>
      </c>
      <c r="F11" s="15">
        <f t="shared" si="3"/>
        <v>154786.17382000003</v>
      </c>
      <c r="G11" s="15">
        <f t="shared" si="0"/>
        <v>5026.2138200000336</v>
      </c>
      <c r="H11" s="15">
        <f t="shared" si="1"/>
        <v>3.3561799963087821E-2</v>
      </c>
      <c r="I11" s="16" t="str">
        <f t="shared" si="2"/>
        <v>High</v>
      </c>
    </row>
    <row r="12" spans="1:11" x14ac:dyDescent="0.35">
      <c r="A12" s="11">
        <v>101913.08</v>
      </c>
      <c r="B12" s="12">
        <v>110594.11</v>
      </c>
      <c r="C12" s="12">
        <v>229160.95</v>
      </c>
      <c r="D12" s="12" t="s">
        <v>11</v>
      </c>
      <c r="E12" s="12">
        <v>146121.95000000001</v>
      </c>
      <c r="F12" s="12">
        <f t="shared" si="3"/>
        <v>135444.67829000001</v>
      </c>
      <c r="G12" s="12">
        <f t="shared" si="0"/>
        <v>-10677.271710000001</v>
      </c>
      <c r="H12" s="12">
        <f t="shared" si="1"/>
        <v>7.3070963739533992E-2</v>
      </c>
      <c r="I12" s="13" t="str">
        <f t="shared" si="2"/>
        <v>High</v>
      </c>
    </row>
    <row r="13" spans="1:11" x14ac:dyDescent="0.35">
      <c r="A13" s="14">
        <v>100671.96</v>
      </c>
      <c r="B13" s="15">
        <v>91790.61</v>
      </c>
      <c r="C13" s="15">
        <v>249744.55</v>
      </c>
      <c r="D13" s="15" t="s">
        <v>10</v>
      </c>
      <c r="E13" s="15">
        <v>144259.4</v>
      </c>
      <c r="F13" s="15">
        <f t="shared" si="3"/>
        <v>135490.22489000001</v>
      </c>
      <c r="G13" s="15">
        <f t="shared" si="0"/>
        <v>-8769.1751099999819</v>
      </c>
      <c r="H13" s="15">
        <f t="shared" si="1"/>
        <v>6.0787547362598088E-2</v>
      </c>
      <c r="I13" s="16" t="str">
        <f t="shared" si="2"/>
        <v>High</v>
      </c>
    </row>
    <row r="14" spans="1:11" x14ac:dyDescent="0.35">
      <c r="A14" s="11">
        <v>93863.75</v>
      </c>
      <c r="B14" s="12">
        <v>127320.38</v>
      </c>
      <c r="C14" s="12">
        <v>249839.44</v>
      </c>
      <c r="D14" s="12" t="s">
        <v>11</v>
      </c>
      <c r="E14" s="12">
        <v>141585.51999999999</v>
      </c>
      <c r="F14" s="12">
        <f t="shared" si="3"/>
        <v>129088.40385</v>
      </c>
      <c r="G14" s="12">
        <f t="shared" si="0"/>
        <v>-12497.116149999987</v>
      </c>
      <c r="H14" s="12">
        <f t="shared" si="1"/>
        <v>8.826549600552365E-2</v>
      </c>
      <c r="I14" s="13" t="str">
        <f t="shared" si="2"/>
        <v>High</v>
      </c>
    </row>
    <row r="15" spans="1:11" x14ac:dyDescent="0.35">
      <c r="A15" s="14">
        <v>91992.39</v>
      </c>
      <c r="B15" s="15">
        <v>135495.07</v>
      </c>
      <c r="C15" s="15">
        <v>252664.93</v>
      </c>
      <c r="D15" s="15" t="s">
        <v>10</v>
      </c>
      <c r="E15" s="15">
        <v>134307.35</v>
      </c>
      <c r="F15" s="15">
        <f t="shared" si="3"/>
        <v>127445.70534000001</v>
      </c>
      <c r="G15" s="15">
        <f t="shared" si="0"/>
        <v>-6861.6446599999908</v>
      </c>
      <c r="H15" s="15">
        <f t="shared" si="1"/>
        <v>5.1089122523823083E-2</v>
      </c>
      <c r="I15" s="16" t="str">
        <f t="shared" si="2"/>
        <v>High</v>
      </c>
    </row>
    <row r="16" spans="1:11" x14ac:dyDescent="0.35">
      <c r="A16" s="11">
        <v>119943.24</v>
      </c>
      <c r="B16" s="12">
        <v>156547.42000000001</v>
      </c>
      <c r="C16" s="12">
        <v>256512.92</v>
      </c>
      <c r="D16" s="12" t="s">
        <v>11</v>
      </c>
      <c r="E16" s="12">
        <v>132602.65</v>
      </c>
      <c r="F16" s="12">
        <f t="shared" si="3"/>
        <v>149502.67421999999</v>
      </c>
      <c r="G16" s="12">
        <f t="shared" si="0"/>
        <v>16900.024219999992</v>
      </c>
      <c r="H16" s="12">
        <f t="shared" si="1"/>
        <v>0.12744861599673907</v>
      </c>
      <c r="I16" s="13" t="str">
        <f t="shared" si="2"/>
        <v>High</v>
      </c>
    </row>
    <row r="17" spans="1:9" x14ac:dyDescent="0.35">
      <c r="A17" s="14">
        <v>114523.61</v>
      </c>
      <c r="B17" s="15">
        <v>122616.84</v>
      </c>
      <c r="C17" s="15">
        <v>261776.23</v>
      </c>
      <c r="D17" s="15" t="s">
        <v>9</v>
      </c>
      <c r="E17" s="15">
        <v>129917.04</v>
      </c>
      <c r="F17" s="15">
        <f t="shared" si="3"/>
        <v>146164.17652000001</v>
      </c>
      <c r="G17" s="15">
        <f t="shared" si="0"/>
        <v>16247.136520000015</v>
      </c>
      <c r="H17" s="15">
        <f t="shared" si="1"/>
        <v>0.12505777933364257</v>
      </c>
      <c r="I17" s="16" t="str">
        <f t="shared" si="2"/>
        <v>High</v>
      </c>
    </row>
    <row r="18" spans="1:9" x14ac:dyDescent="0.35">
      <c r="A18" s="11">
        <v>78013.11</v>
      </c>
      <c r="B18" s="12">
        <v>121597.55</v>
      </c>
      <c r="C18" s="12">
        <v>264346.06</v>
      </c>
      <c r="D18" s="12" t="s">
        <v>10</v>
      </c>
      <c r="E18" s="12">
        <v>126992.93</v>
      </c>
      <c r="F18" s="12">
        <f t="shared" si="3"/>
        <v>116869.11097000001</v>
      </c>
      <c r="G18" s="12">
        <f t="shared" si="0"/>
        <v>-10123.819029999984</v>
      </c>
      <c r="H18" s="12">
        <f t="shared" si="1"/>
        <v>7.9719548403206261E-2</v>
      </c>
      <c r="I18" s="13" t="str">
        <f t="shared" si="2"/>
        <v>High</v>
      </c>
    </row>
    <row r="19" spans="1:9" x14ac:dyDescent="0.35">
      <c r="A19" s="14">
        <v>94657.16</v>
      </c>
      <c r="B19" s="15">
        <v>145077.57999999999</v>
      </c>
      <c r="C19" s="15">
        <v>282574.31</v>
      </c>
      <c r="D19" s="15" t="s">
        <v>9</v>
      </c>
      <c r="E19" s="15">
        <v>125370.37</v>
      </c>
      <c r="F19" s="15">
        <f t="shared" si="3"/>
        <v>130149.25318999999</v>
      </c>
      <c r="G19" s="15">
        <f t="shared" si="0"/>
        <v>4778.8831899999932</v>
      </c>
      <c r="H19" s="15">
        <f t="shared" si="1"/>
        <v>3.8118123046139159E-2</v>
      </c>
      <c r="I19" s="16" t="str">
        <f t="shared" si="2"/>
        <v>High</v>
      </c>
    </row>
    <row r="20" spans="1:9" x14ac:dyDescent="0.35">
      <c r="A20" s="11">
        <v>91749.16</v>
      </c>
      <c r="B20" s="12">
        <v>114175.79</v>
      </c>
      <c r="C20" s="12">
        <v>294919.57</v>
      </c>
      <c r="D20" s="12" t="s">
        <v>11</v>
      </c>
      <c r="E20" s="12">
        <v>124266.9</v>
      </c>
      <c r="F20" s="12">
        <f t="shared" si="3"/>
        <v>128945.08175000001</v>
      </c>
      <c r="G20" s="12">
        <f t="shared" si="0"/>
        <v>4678.1817500000179</v>
      </c>
      <c r="H20" s="12">
        <f t="shared" si="1"/>
        <v>3.7646241678194421E-2</v>
      </c>
      <c r="I20" s="13" t="str">
        <f t="shared" si="2"/>
        <v>High</v>
      </c>
    </row>
    <row r="21" spans="1:9" x14ac:dyDescent="0.35">
      <c r="A21" s="14">
        <v>86419.7</v>
      </c>
      <c r="B21" s="15">
        <v>153514.10999999999</v>
      </c>
      <c r="C21" s="15">
        <v>0</v>
      </c>
      <c r="D21" s="15" t="s">
        <v>9</v>
      </c>
      <c r="E21" s="15">
        <v>122776.86</v>
      </c>
      <c r="F21" s="15">
        <f t="shared" si="3"/>
        <v>115669.24174000001</v>
      </c>
      <c r="G21" s="15">
        <f t="shared" si="0"/>
        <v>-7107.6182599999884</v>
      </c>
      <c r="H21" s="15">
        <f t="shared" si="1"/>
        <v>5.7890536213419927E-2</v>
      </c>
      <c r="I21" s="16" t="str">
        <f t="shared" si="2"/>
        <v>High</v>
      </c>
    </row>
    <row r="22" spans="1:9" x14ac:dyDescent="0.35">
      <c r="A22" s="11">
        <v>76253.86</v>
      </c>
      <c r="B22" s="12">
        <v>113867.3</v>
      </c>
      <c r="C22" s="12">
        <v>298664.46999999997</v>
      </c>
      <c r="D22" s="12" t="s">
        <v>10</v>
      </c>
      <c r="E22" s="12">
        <v>118474.03</v>
      </c>
      <c r="F22" s="12">
        <f t="shared" si="3"/>
        <v>116580.49829000002</v>
      </c>
      <c r="G22" s="12">
        <f t="shared" si="0"/>
        <v>-1893.5317099999811</v>
      </c>
      <c r="H22" s="12">
        <f t="shared" si="1"/>
        <v>1.5982673249149888E-2</v>
      </c>
      <c r="I22" s="13" t="str">
        <f t="shared" si="2"/>
        <v>High</v>
      </c>
    </row>
    <row r="23" spans="1:9" x14ac:dyDescent="0.35">
      <c r="A23" s="14">
        <v>78389.47</v>
      </c>
      <c r="B23" s="15">
        <v>153773.43</v>
      </c>
      <c r="C23" s="15">
        <v>299737.28999999998</v>
      </c>
      <c r="D23" s="15" t="s">
        <v>9</v>
      </c>
      <c r="E23" s="15">
        <v>111313.02</v>
      </c>
      <c r="F23" s="15">
        <f t="shared" si="3"/>
        <v>117291.0711</v>
      </c>
      <c r="G23" s="15">
        <f t="shared" si="0"/>
        <v>5978.0510999999969</v>
      </c>
      <c r="H23" s="15">
        <f t="shared" si="1"/>
        <v>5.3704868487082613E-2</v>
      </c>
      <c r="I23" s="16" t="str">
        <f t="shared" si="2"/>
        <v>High</v>
      </c>
    </row>
    <row r="24" spans="1:9" x14ac:dyDescent="0.35">
      <c r="A24" s="11">
        <v>73994.559999999998</v>
      </c>
      <c r="B24" s="12">
        <v>122782.75</v>
      </c>
      <c r="C24" s="12">
        <v>303319.26</v>
      </c>
      <c r="D24" s="12" t="s">
        <v>11</v>
      </c>
      <c r="E24" s="12">
        <v>110352.25</v>
      </c>
      <c r="F24" s="12">
        <f t="shared" si="3"/>
        <v>114655.63942000001</v>
      </c>
      <c r="G24" s="12">
        <f t="shared" si="0"/>
        <v>4303.3894200000068</v>
      </c>
      <c r="H24" s="12">
        <f t="shared" si="1"/>
        <v>3.8996843471700911E-2</v>
      </c>
      <c r="I24" s="13" t="str">
        <f t="shared" si="2"/>
        <v>High</v>
      </c>
    </row>
    <row r="25" spans="1:9" x14ac:dyDescent="0.35">
      <c r="A25" s="14">
        <v>67532.53</v>
      </c>
      <c r="B25" s="15">
        <v>105751.03</v>
      </c>
      <c r="C25" s="15">
        <v>304768.73</v>
      </c>
      <c r="D25" s="15" t="s">
        <v>11</v>
      </c>
      <c r="E25" s="15">
        <v>108733.99</v>
      </c>
      <c r="F25" s="15">
        <f t="shared" si="3"/>
        <v>109935.66567999999</v>
      </c>
      <c r="G25" s="15">
        <f t="shared" si="0"/>
        <v>1201.6756799999857</v>
      </c>
      <c r="H25" s="15">
        <f t="shared" si="1"/>
        <v>1.105151829708434E-2</v>
      </c>
      <c r="I25" s="16" t="str">
        <f t="shared" si="2"/>
        <v>High</v>
      </c>
    </row>
    <row r="26" spans="1:9" x14ac:dyDescent="0.35">
      <c r="A26" s="11">
        <v>77044.009999999995</v>
      </c>
      <c r="B26" s="12">
        <v>99281.34</v>
      </c>
      <c r="C26" s="12">
        <v>140574.81</v>
      </c>
      <c r="D26" s="12" t="s">
        <v>9</v>
      </c>
      <c r="E26" s="12">
        <v>108552.04</v>
      </c>
      <c r="F26" s="12">
        <f t="shared" si="3"/>
        <v>113327.38317999999</v>
      </c>
      <c r="G26" s="12">
        <f t="shared" si="0"/>
        <v>4775.3431799999962</v>
      </c>
      <c r="H26" s="12">
        <f t="shared" si="1"/>
        <v>4.3991279942781326E-2</v>
      </c>
      <c r="I26" s="13" t="str">
        <f t="shared" si="2"/>
        <v>High</v>
      </c>
    </row>
    <row r="27" spans="1:9" x14ac:dyDescent="0.35">
      <c r="A27" s="14">
        <v>64664.71</v>
      </c>
      <c r="B27" s="15">
        <v>139553.16</v>
      </c>
      <c r="C27" s="15">
        <v>137962.62</v>
      </c>
      <c r="D27" s="15" t="s">
        <v>10</v>
      </c>
      <c r="E27" s="15">
        <v>107404.34</v>
      </c>
      <c r="F27" s="15">
        <f t="shared" si="3"/>
        <v>102244.45023</v>
      </c>
      <c r="G27" s="15">
        <f t="shared" si="0"/>
        <v>-5159.8897699999943</v>
      </c>
      <c r="H27" s="15">
        <f t="shared" si="1"/>
        <v>4.804172503643702E-2</v>
      </c>
      <c r="I27" s="16" t="str">
        <f t="shared" si="2"/>
        <v>High</v>
      </c>
    </row>
    <row r="28" spans="1:9" x14ac:dyDescent="0.35">
      <c r="A28" s="11">
        <v>75328.87</v>
      </c>
      <c r="B28" s="12">
        <v>144135.98000000001</v>
      </c>
      <c r="C28" s="12">
        <v>134050.07</v>
      </c>
      <c r="D28" s="12" t="s">
        <v>11</v>
      </c>
      <c r="E28" s="12">
        <v>105733.54</v>
      </c>
      <c r="F28" s="12">
        <f t="shared" si="3"/>
        <v>110604.30686</v>
      </c>
      <c r="G28" s="12">
        <f t="shared" si="0"/>
        <v>4870.7668600000034</v>
      </c>
      <c r="H28" s="12">
        <f t="shared" si="1"/>
        <v>4.6066431332952663E-2</v>
      </c>
      <c r="I28" s="13" t="str">
        <f t="shared" si="2"/>
        <v>High</v>
      </c>
    </row>
    <row r="29" spans="1:9" x14ac:dyDescent="0.35">
      <c r="A29" s="14">
        <v>72107.600000000006</v>
      </c>
      <c r="B29" s="15">
        <v>127864.55</v>
      </c>
      <c r="C29" s="15">
        <v>353183.81</v>
      </c>
      <c r="D29" s="15" t="s">
        <v>9</v>
      </c>
      <c r="E29" s="15">
        <v>105008.31</v>
      </c>
      <c r="F29" s="15">
        <f t="shared" si="3"/>
        <v>114350.85267000001</v>
      </c>
      <c r="G29" s="15">
        <f t="shared" si="0"/>
        <v>9342.5426700000098</v>
      </c>
      <c r="H29" s="15">
        <f t="shared" si="1"/>
        <v>8.8969555552317808E-2</v>
      </c>
      <c r="I29" s="16" t="str">
        <f t="shared" si="2"/>
        <v>High</v>
      </c>
    </row>
    <row r="30" spans="1:9" x14ac:dyDescent="0.35">
      <c r="A30" s="11">
        <v>66051.520000000004</v>
      </c>
      <c r="B30" s="12">
        <v>182645.56</v>
      </c>
      <c r="C30" s="12">
        <v>118148.2</v>
      </c>
      <c r="D30" s="12" t="s">
        <v>11</v>
      </c>
      <c r="E30" s="12">
        <v>103282.38</v>
      </c>
      <c r="F30" s="12">
        <f t="shared" si="3"/>
        <v>101705.44054</v>
      </c>
      <c r="G30" s="12">
        <f t="shared" si="0"/>
        <v>-1576.9394600000087</v>
      </c>
      <c r="H30" s="12">
        <f t="shared" si="1"/>
        <v>1.5268233168135829E-2</v>
      </c>
      <c r="I30" s="13" t="str">
        <f t="shared" si="2"/>
        <v>High</v>
      </c>
    </row>
    <row r="31" spans="1:9" x14ac:dyDescent="0.35">
      <c r="A31" s="14">
        <v>65605.48</v>
      </c>
      <c r="B31" s="15">
        <v>153032.06</v>
      </c>
      <c r="C31" s="15">
        <v>107138.38</v>
      </c>
      <c r="D31" s="15" t="s">
        <v>9</v>
      </c>
      <c r="E31" s="15">
        <v>101004.64</v>
      </c>
      <c r="F31" s="15">
        <f t="shared" si="3"/>
        <v>101819.06419999999</v>
      </c>
      <c r="G31" s="15">
        <f t="shared" si="0"/>
        <v>814.42419999999402</v>
      </c>
      <c r="H31" s="15">
        <f t="shared" si="1"/>
        <v>8.063235510764594E-3</v>
      </c>
      <c r="I31" s="16" t="str">
        <f t="shared" si="2"/>
        <v>High</v>
      </c>
    </row>
    <row r="32" spans="1:9" x14ac:dyDescent="0.35">
      <c r="A32" s="11">
        <v>61994.48</v>
      </c>
      <c r="B32" s="12">
        <v>115641.28</v>
      </c>
      <c r="C32" s="12">
        <v>91131.24</v>
      </c>
      <c r="D32" s="12" t="s">
        <v>11</v>
      </c>
      <c r="E32" s="12">
        <v>99937.59</v>
      </c>
      <c r="F32" s="12">
        <f t="shared" si="3"/>
        <v>99452.176700000011</v>
      </c>
      <c r="G32" s="12">
        <f t="shared" si="0"/>
        <v>-485.41329999998561</v>
      </c>
      <c r="H32" s="12">
        <f t="shared" si="1"/>
        <v>4.8571643562746077E-3</v>
      </c>
      <c r="I32" s="13" t="str">
        <f t="shared" si="2"/>
        <v>Medium</v>
      </c>
    </row>
    <row r="33" spans="1:14" x14ac:dyDescent="0.35">
      <c r="A33" s="14">
        <v>61136.38</v>
      </c>
      <c r="B33" s="15">
        <v>152701.92000000001</v>
      </c>
      <c r="C33" s="15">
        <v>88218.23</v>
      </c>
      <c r="D33" s="15" t="s">
        <v>9</v>
      </c>
      <c r="E33" s="15">
        <v>97483.56</v>
      </c>
      <c r="F33" s="15">
        <f t="shared" si="3"/>
        <v>97719.178289999996</v>
      </c>
      <c r="G33" s="15">
        <f t="shared" si="0"/>
        <v>235.61828999999852</v>
      </c>
      <c r="H33" s="15">
        <f t="shared" si="1"/>
        <v>2.4170053904473588E-3</v>
      </c>
      <c r="I33" s="16" t="str">
        <f t="shared" si="2"/>
        <v>Medium</v>
      </c>
    </row>
    <row r="34" spans="1:14" x14ac:dyDescent="0.35">
      <c r="A34" s="11">
        <v>63408.86</v>
      </c>
      <c r="B34" s="12">
        <v>129219.61</v>
      </c>
      <c r="C34" s="12">
        <v>46085.25</v>
      </c>
      <c r="D34" s="12" t="s">
        <v>10</v>
      </c>
      <c r="E34" s="12">
        <v>97427.839999999997</v>
      </c>
      <c r="F34" s="12">
        <f t="shared" si="3"/>
        <v>99021.474289999998</v>
      </c>
      <c r="G34" s="12">
        <f t="shared" si="0"/>
        <v>1593.6342900000018</v>
      </c>
      <c r="H34" s="12">
        <f t="shared" si="1"/>
        <v>1.635707298858316E-2</v>
      </c>
      <c r="I34" s="13" t="str">
        <f t="shared" si="2"/>
        <v>Medium</v>
      </c>
    </row>
    <row r="35" spans="1:14" x14ac:dyDescent="0.35">
      <c r="A35" s="14">
        <v>55493.95</v>
      </c>
      <c r="B35" s="15">
        <v>103057.49</v>
      </c>
      <c r="C35" s="15">
        <v>214634.81</v>
      </c>
      <c r="D35" s="15" t="s">
        <v>11</v>
      </c>
      <c r="E35" s="15">
        <v>96778.92</v>
      </c>
      <c r="F35" s="15">
        <f t="shared" si="3"/>
        <v>97881.024980000002</v>
      </c>
      <c r="G35" s="15">
        <f t="shared" si="0"/>
        <v>1102.1049800000037</v>
      </c>
      <c r="H35" s="15">
        <f t="shared" si="1"/>
        <v>1.1387861943489385E-2</v>
      </c>
      <c r="I35" s="16" t="str">
        <f t="shared" si="2"/>
        <v>Medium</v>
      </c>
    </row>
    <row r="36" spans="1:14" x14ac:dyDescent="0.35">
      <c r="A36" s="11">
        <v>46426.07</v>
      </c>
      <c r="B36" s="12">
        <v>157693.92000000001</v>
      </c>
      <c r="C36" s="12">
        <v>210797.67</v>
      </c>
      <c r="D36" s="12" t="s">
        <v>10</v>
      </c>
      <c r="E36" s="12">
        <v>96712.8</v>
      </c>
      <c r="F36" s="12">
        <f t="shared" si="3"/>
        <v>89057.231619999991</v>
      </c>
      <c r="G36" s="12">
        <f t="shared" si="0"/>
        <v>-7655.5683800000115</v>
      </c>
      <c r="H36" s="12">
        <f t="shared" si="1"/>
        <v>7.9157757608093363E-2</v>
      </c>
      <c r="I36" s="13" t="str">
        <f t="shared" si="2"/>
        <v>Medium</v>
      </c>
    </row>
    <row r="37" spans="1:14" ht="15" thickBot="1" x14ac:dyDescent="0.4">
      <c r="A37" s="14">
        <v>46014.02</v>
      </c>
      <c r="B37" s="15">
        <v>85047.44</v>
      </c>
      <c r="C37" s="15">
        <v>205517.64</v>
      </c>
      <c r="D37" s="15" t="s">
        <v>9</v>
      </c>
      <c r="E37" s="15">
        <v>96479.51</v>
      </c>
      <c r="F37" s="15">
        <f t="shared" si="3"/>
        <v>90471.779040000009</v>
      </c>
      <c r="G37" s="15">
        <f t="shared" si="0"/>
        <v>-6007.7309599999862</v>
      </c>
      <c r="H37" s="15">
        <f t="shared" si="1"/>
        <v>6.226950116143818E-2</v>
      </c>
      <c r="I37" s="16" t="str">
        <f t="shared" si="2"/>
        <v>Medium</v>
      </c>
      <c r="N37" s="2"/>
    </row>
    <row r="38" spans="1:14" x14ac:dyDescent="0.35">
      <c r="A38" s="11">
        <v>28663.759999999998</v>
      </c>
      <c r="B38" s="12">
        <v>127056.21</v>
      </c>
      <c r="C38" s="12">
        <v>201126.82</v>
      </c>
      <c r="D38" s="12" t="s">
        <v>11</v>
      </c>
      <c r="E38" s="12">
        <v>90708.19</v>
      </c>
      <c r="F38" s="12">
        <f t="shared" si="3"/>
        <v>75294.039579999997</v>
      </c>
      <c r="G38" s="12">
        <f t="shared" si="0"/>
        <v>-15414.150420000005</v>
      </c>
      <c r="H38" s="12">
        <f t="shared" si="1"/>
        <v>0.16993118725001574</v>
      </c>
      <c r="I38" s="13" t="str">
        <f t="shared" si="2"/>
        <v>Medium</v>
      </c>
    </row>
    <row r="39" spans="1:14" x14ac:dyDescent="0.35">
      <c r="A39" s="14">
        <v>44069.95</v>
      </c>
      <c r="B39" s="15">
        <v>51283.14</v>
      </c>
      <c r="C39" s="15">
        <v>197029.42</v>
      </c>
      <c r="D39" s="15" t="s">
        <v>10</v>
      </c>
      <c r="E39" s="15">
        <v>89949.14</v>
      </c>
      <c r="F39" s="15">
        <f t="shared" si="3"/>
        <v>89555.492549999995</v>
      </c>
      <c r="G39" s="15">
        <f t="shared" si="0"/>
        <v>-393.64745000000403</v>
      </c>
      <c r="H39" s="15">
        <f t="shared" si="1"/>
        <v>4.3763336703386384E-3</v>
      </c>
      <c r="I39" s="16" t="str">
        <f t="shared" si="2"/>
        <v>Medium</v>
      </c>
    </row>
    <row r="40" spans="1:14" x14ac:dyDescent="0.35">
      <c r="A40" s="11">
        <v>20229.59</v>
      </c>
      <c r="B40" s="12">
        <v>65947.929999999993</v>
      </c>
      <c r="C40" s="12">
        <v>185265.1</v>
      </c>
      <c r="D40" s="12" t="s">
        <v>9</v>
      </c>
      <c r="E40" s="12">
        <v>81229.06</v>
      </c>
      <c r="F40" s="12">
        <f t="shared" si="3"/>
        <v>69665.081569999995</v>
      </c>
      <c r="G40" s="12">
        <f t="shared" si="0"/>
        <v>-11563.978430000003</v>
      </c>
      <c r="H40" s="12">
        <f t="shared" si="1"/>
        <v>0.1423625784909982</v>
      </c>
      <c r="I40" s="13" t="str">
        <f t="shared" si="2"/>
        <v>Medium</v>
      </c>
    </row>
    <row r="41" spans="1:14" x14ac:dyDescent="0.35">
      <c r="A41" s="14">
        <v>38558.51</v>
      </c>
      <c r="B41" s="15">
        <v>82982.09</v>
      </c>
      <c r="C41" s="15">
        <v>174999.3</v>
      </c>
      <c r="D41" s="15" t="s">
        <v>10</v>
      </c>
      <c r="E41" s="15">
        <v>81005.759999999995</v>
      </c>
      <c r="F41" s="15">
        <f t="shared" si="3"/>
        <v>83699.797410000014</v>
      </c>
      <c r="G41" s="15">
        <f t="shared" si="0"/>
        <v>2694.037410000019</v>
      </c>
      <c r="H41" s="15">
        <f t="shared" si="1"/>
        <v>3.3257356143563364E-2</v>
      </c>
      <c r="I41" s="16" t="str">
        <f t="shared" si="2"/>
        <v>Medium</v>
      </c>
    </row>
    <row r="42" spans="1:14" x14ac:dyDescent="0.35">
      <c r="A42" s="11">
        <v>28754.33</v>
      </c>
      <c r="B42" s="12">
        <v>118546.05</v>
      </c>
      <c r="C42" s="12">
        <v>172795.67</v>
      </c>
      <c r="D42" s="12" t="s">
        <v>10</v>
      </c>
      <c r="E42" s="12">
        <v>78239.91</v>
      </c>
      <c r="F42" s="12">
        <f t="shared" si="3"/>
        <v>74823.271539999987</v>
      </c>
      <c r="G42" s="12">
        <f t="shared" si="0"/>
        <v>-3416.6384600000165</v>
      </c>
      <c r="H42" s="12">
        <f t="shared" si="1"/>
        <v>4.3668742205864197E-2</v>
      </c>
      <c r="I42" s="13" t="str">
        <f t="shared" si="2"/>
        <v>Medium</v>
      </c>
    </row>
    <row r="43" spans="1:14" x14ac:dyDescent="0.35">
      <c r="A43" s="14">
        <v>27892.92</v>
      </c>
      <c r="B43" s="15">
        <v>84710.77</v>
      </c>
      <c r="C43" s="15">
        <v>164470.71</v>
      </c>
      <c r="D43" s="15" t="s">
        <v>11</v>
      </c>
      <c r="E43" s="15">
        <v>77798.83</v>
      </c>
      <c r="F43" s="15">
        <f t="shared" si="3"/>
        <v>74784.779849999992</v>
      </c>
      <c r="G43" s="15">
        <f t="shared" si="0"/>
        <v>-3014.05015000001</v>
      </c>
      <c r="H43" s="15">
        <f t="shared" si="1"/>
        <v>3.8741587116413061E-2</v>
      </c>
      <c r="I43" s="16" t="str">
        <f t="shared" si="2"/>
        <v>Medium</v>
      </c>
    </row>
    <row r="44" spans="1:14" x14ac:dyDescent="0.35">
      <c r="A44" s="11">
        <v>23640.93</v>
      </c>
      <c r="B44" s="12">
        <v>96189.63</v>
      </c>
      <c r="C44" s="12">
        <v>148001.10999999999</v>
      </c>
      <c r="D44" s="12" t="s">
        <v>10</v>
      </c>
      <c r="E44" s="12">
        <v>71498.490000000005</v>
      </c>
      <c r="F44" s="12">
        <f t="shared" si="3"/>
        <v>70618.798339999994</v>
      </c>
      <c r="G44" s="12">
        <f t="shared" si="0"/>
        <v>-879.69166000001132</v>
      </c>
      <c r="H44" s="12">
        <f t="shared" si="1"/>
        <v>1.2303639699244156E-2</v>
      </c>
      <c r="I44" s="13" t="str">
        <f t="shared" si="2"/>
        <v>Medium</v>
      </c>
    </row>
    <row r="45" spans="1:14" x14ac:dyDescent="0.35">
      <c r="A45" s="14">
        <v>15505.73</v>
      </c>
      <c r="B45" s="15">
        <v>127382.3</v>
      </c>
      <c r="C45" s="15">
        <v>35534.17</v>
      </c>
      <c r="D45" s="15" t="s">
        <v>9</v>
      </c>
      <c r="E45" s="15">
        <v>69758.98</v>
      </c>
      <c r="F45" s="15">
        <f t="shared" si="3"/>
        <v>60222.345540000002</v>
      </c>
      <c r="G45" s="15">
        <f t="shared" si="0"/>
        <v>-9536.6344599999939</v>
      </c>
      <c r="H45" s="15">
        <f t="shared" si="1"/>
        <v>0.1367083414923784</v>
      </c>
      <c r="I45" s="16" t="str">
        <f t="shared" si="2"/>
        <v>Medium</v>
      </c>
    </row>
    <row r="46" spans="1:14" x14ac:dyDescent="0.35">
      <c r="A46" s="11">
        <v>22177.74</v>
      </c>
      <c r="B46" s="12">
        <v>154806.14000000001</v>
      </c>
      <c r="C46" s="12">
        <v>28334.720000000001</v>
      </c>
      <c r="D46" s="12" t="s">
        <v>10</v>
      </c>
      <c r="E46" s="12">
        <v>65200.33</v>
      </c>
      <c r="F46" s="12">
        <f t="shared" si="3"/>
        <v>64685.908599999995</v>
      </c>
      <c r="G46" s="12">
        <f t="shared" si="0"/>
        <v>-514.42140000000654</v>
      </c>
      <c r="H46" s="12">
        <f t="shared" si="1"/>
        <v>7.8898588396716166E-3</v>
      </c>
      <c r="I46" s="13" t="str">
        <f t="shared" si="2"/>
        <v>Medium</v>
      </c>
    </row>
    <row r="47" spans="1:14" x14ac:dyDescent="0.35">
      <c r="A47" s="14">
        <v>1000.23</v>
      </c>
      <c r="B47" s="15">
        <v>124153.04</v>
      </c>
      <c r="C47" s="15">
        <v>1903.93</v>
      </c>
      <c r="D47" s="15" t="s">
        <v>9</v>
      </c>
      <c r="E47" s="15">
        <v>64926.080000000002</v>
      </c>
      <c r="F47" s="15">
        <f t="shared" si="3"/>
        <v>47721.36232</v>
      </c>
      <c r="G47" s="15">
        <f t="shared" si="0"/>
        <v>-17204.717680000002</v>
      </c>
      <c r="H47" s="15">
        <f t="shared" si="1"/>
        <v>0.26498931831399647</v>
      </c>
      <c r="I47" s="16" t="str">
        <f t="shared" si="2"/>
        <v>Medium</v>
      </c>
    </row>
    <row r="48" spans="1:14" x14ac:dyDescent="0.35">
      <c r="A48" s="11">
        <v>1315.46</v>
      </c>
      <c r="B48" s="12">
        <v>115816.21</v>
      </c>
      <c r="C48" s="12">
        <v>297114.46000000002</v>
      </c>
      <c r="D48" s="12" t="s">
        <v>11</v>
      </c>
      <c r="E48" s="12">
        <v>49490.75</v>
      </c>
      <c r="F48" s="12">
        <f t="shared" si="3"/>
        <v>56162.564359999997</v>
      </c>
      <c r="G48" s="12">
        <f t="shared" si="0"/>
        <v>6671.8143599999967</v>
      </c>
      <c r="H48" s="12">
        <f t="shared" si="1"/>
        <v>0.13480932012547792</v>
      </c>
      <c r="I48" s="13" t="str">
        <f t="shared" si="2"/>
        <v>Low</v>
      </c>
    </row>
    <row r="49" spans="1:9" x14ac:dyDescent="0.35">
      <c r="A49" s="14">
        <v>0</v>
      </c>
      <c r="B49" s="15">
        <v>135426.92000000001</v>
      </c>
      <c r="C49" s="15">
        <v>0</v>
      </c>
      <c r="D49" s="15" t="s">
        <v>10</v>
      </c>
      <c r="E49" s="15">
        <v>42559.73</v>
      </c>
      <c r="F49" s="15">
        <f t="shared" si="3"/>
        <v>46571.650179999997</v>
      </c>
      <c r="G49" s="15">
        <f t="shared" si="0"/>
        <v>4011.9201799999937</v>
      </c>
      <c r="H49" s="15">
        <f t="shared" si="1"/>
        <v>9.4265639843109747E-2</v>
      </c>
      <c r="I49" s="16" t="str">
        <f t="shared" si="2"/>
        <v>Low</v>
      </c>
    </row>
    <row r="50" spans="1:9" x14ac:dyDescent="0.35">
      <c r="A50" s="11">
        <v>542.04999999999995</v>
      </c>
      <c r="B50" s="12">
        <v>51743.15</v>
      </c>
      <c r="C50" s="12">
        <v>0</v>
      </c>
      <c r="D50" s="12" t="s">
        <v>9</v>
      </c>
      <c r="E50" s="12">
        <v>35673.410000000003</v>
      </c>
      <c r="F50" s="12">
        <f t="shared" si="3"/>
        <v>49183.778449999998</v>
      </c>
      <c r="G50" s="12">
        <f t="shared" si="0"/>
        <v>13510.368449999994</v>
      </c>
      <c r="H50" s="12">
        <f t="shared" si="1"/>
        <v>0.37872377353328412</v>
      </c>
      <c r="I50" s="13" t="str">
        <f t="shared" si="2"/>
        <v>Low</v>
      </c>
    </row>
    <row r="51" spans="1:9" x14ac:dyDescent="0.35">
      <c r="A51" s="5">
        <v>0</v>
      </c>
      <c r="B51" s="6">
        <v>116983.8</v>
      </c>
      <c r="C51" s="6">
        <v>45173.06</v>
      </c>
      <c r="D51" s="6" t="s">
        <v>10</v>
      </c>
      <c r="E51" s="6">
        <v>14681.4</v>
      </c>
      <c r="F51" s="6">
        <f t="shared" si="3"/>
        <v>48270.843919999992</v>
      </c>
      <c r="G51" s="6">
        <f t="shared" si="0"/>
        <v>33589.443919999991</v>
      </c>
      <c r="H51" s="6">
        <f t="shared" si="1"/>
        <v>2.2878910676093556</v>
      </c>
      <c r="I51" s="7" t="str">
        <f t="shared" si="2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Profit_Regresion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manmathaharish k</dc:creator>
  <cp:lastModifiedBy>Prabu vijay</cp:lastModifiedBy>
  <dcterms:created xsi:type="dcterms:W3CDTF">2026-05-12T09:38:12Z</dcterms:created>
  <dcterms:modified xsi:type="dcterms:W3CDTF">2026-05-27T17:19:41Z</dcterms:modified>
</cp:coreProperties>
</file>